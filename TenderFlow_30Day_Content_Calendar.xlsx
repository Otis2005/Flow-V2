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Calendar" sheetId="1" state="visible" r:id="rId1"/>
    <sheet xmlns:r="http://schemas.openxmlformats.org/officeDocument/2006/relationships" name="Platform Quick-Ref" sheetId="2" state="visible" r:id="rId2"/>
    <sheet xmlns:r="http://schemas.openxmlformats.org/officeDocument/2006/relationships" name="Hashtag Bank"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DD MMM YYYY"/>
  </numFmts>
  <fonts count="10">
    <font>
      <name val="Calibri"/>
      <family val="2"/>
      <color theme="1"/>
      <sz val="11"/>
      <scheme val="minor"/>
    </font>
    <font>
      <name val="Arial"/>
      <b val="1"/>
      <color rgb="000D1B3E"/>
      <sz val="16"/>
    </font>
    <font>
      <name val="Arial"/>
      <i val="1"/>
      <color rgb="00888877"/>
      <sz val="10"/>
    </font>
    <font>
      <name val="Arial"/>
      <b val="1"/>
      <color rgb="000D1B3E"/>
      <sz val="10"/>
    </font>
    <font>
      <name val="Arial"/>
      <b val="1"/>
      <color rgb="00C9A84C"/>
      <sz val="11"/>
    </font>
    <font>
      <name val="Arial"/>
      <b val="1"/>
      <color rgb="00FFFFFF"/>
      <sz val="10"/>
    </font>
    <font>
      <name val="Arial"/>
      <color rgb="002B2B1E"/>
      <sz val="10"/>
    </font>
    <font>
      <name val="Arial"/>
      <b val="1"/>
      <color rgb="00795548"/>
      <sz val="10"/>
    </font>
    <font>
      <name val="Arial"/>
      <b val="1"/>
      <color rgb="000D1B3E"/>
      <sz val="15"/>
    </font>
    <font>
      <name val="Arial"/>
      <b val="1"/>
      <color rgb="00FFFFFF"/>
      <sz val="11"/>
    </font>
  </fonts>
  <fills count="15">
    <fill>
      <patternFill/>
    </fill>
    <fill>
      <patternFill patternType="gray125"/>
    </fill>
    <fill>
      <patternFill patternType="solid">
        <fgColor rgb="00F5F3ED"/>
      </patternFill>
    </fill>
    <fill>
      <patternFill patternType="solid">
        <fgColor rgb="00FBF3DC"/>
      </patternFill>
    </fill>
    <fill>
      <patternFill patternType="solid">
        <fgColor rgb="000D1B3E"/>
      </patternFill>
    </fill>
    <fill>
      <patternFill patternType="solid">
        <fgColor rgb="00E8EBF4"/>
      </patternFill>
    </fill>
    <fill>
      <patternFill patternType="solid">
        <fgColor rgb="00FFFFFF"/>
      </patternFill>
    </fill>
    <fill>
      <patternFill patternType="solid">
        <fgColor rgb="00FFF8E1"/>
      </patternFill>
    </fill>
    <fill>
      <patternFill patternType="solid">
        <fgColor rgb="001A1A2E"/>
      </patternFill>
    </fill>
    <fill>
      <patternFill patternType="solid">
        <fgColor rgb="00C13584"/>
      </patternFill>
    </fill>
    <fill>
      <patternFill patternType="solid">
        <fgColor rgb="001877F2"/>
      </patternFill>
    </fill>
    <fill>
      <patternFill patternType="solid">
        <fgColor rgb="0025D366"/>
      </patternFill>
    </fill>
    <fill>
      <patternFill patternType="solid">
        <fgColor rgb="002B2B1E"/>
      </patternFill>
    </fill>
    <fill>
      <patternFill patternType="solid">
        <fgColor rgb="00CC0000"/>
      </patternFill>
    </fill>
    <fill>
      <patternFill patternType="solid">
        <fgColor rgb="00E8F5E9"/>
      </patternFill>
    </fill>
  </fills>
  <borders count="2">
    <border>
      <left/>
      <right/>
      <top/>
      <bottom/>
      <diagonal/>
    </border>
    <border>
      <left style="thin">
        <color rgb="00DDDDCC"/>
      </left>
      <right style="thin">
        <color rgb="00DDDDCC"/>
      </right>
      <top style="thin">
        <color rgb="00DDDDCC"/>
      </top>
      <bottom style="thin">
        <color rgb="00DDDDCC"/>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xf>
    <xf numFmtId="0" fontId="3" fillId="0" borderId="0" applyAlignment="1" pivotButton="0" quotePrefix="0" xfId="0">
      <alignment horizontal="right" vertical="center"/>
    </xf>
    <xf numFmtId="165" fontId="4" fillId="3" borderId="0"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left" vertical="top" wrapText="1"/>
    </xf>
    <xf numFmtId="165" fontId="6" fillId="5" borderId="1" applyAlignment="1" pivotButton="0" quotePrefix="0" xfId="0">
      <alignment horizontal="left" vertical="top" wrapText="1"/>
    </xf>
    <xf numFmtId="0" fontId="6" fillId="6" borderId="1" applyAlignment="1" pivotButton="0" quotePrefix="0" xfId="0">
      <alignment horizontal="left" vertical="top" wrapText="1"/>
    </xf>
    <xf numFmtId="0" fontId="6"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3" borderId="1" applyAlignment="1" pivotButton="0" quotePrefix="0" xfId="0">
      <alignment horizontal="left" vertical="top" wrapText="1"/>
    </xf>
    <xf numFmtId="165" fontId="6" fillId="3" borderId="1" applyAlignment="1" pivotButton="0" quotePrefix="0" xfId="0">
      <alignment horizontal="left" vertical="top" wrapText="1"/>
    </xf>
    <xf numFmtId="0" fontId="5" fillId="13" borderId="1" applyAlignment="1" pivotButton="0" quotePrefix="0" xfId="0">
      <alignment horizontal="center" vertical="center" wrapText="1"/>
    </xf>
    <xf numFmtId="0" fontId="6" fillId="14" borderId="1" applyAlignment="1" pivotButton="0" quotePrefix="0" xfId="0">
      <alignment horizontal="left" vertical="top" wrapText="1"/>
    </xf>
    <xf numFmtId="165" fontId="6" fillId="14" borderId="1" applyAlignment="1" pivotButton="0" quotePrefix="0" xfId="0">
      <alignment horizontal="left" vertical="top" wrapText="1"/>
    </xf>
    <xf numFmtId="0" fontId="8" fillId="2" borderId="0" applyAlignment="1" pivotButton="0" quotePrefix="0" xfId="0">
      <alignment horizontal="center" vertical="center" wrapText="1"/>
    </xf>
    <xf numFmtId="0" fontId="6" fillId="2" borderId="1" applyAlignment="1" pivotButton="0" quotePrefix="0" xfId="0">
      <alignment horizontal="left" vertical="top" wrapText="1"/>
    </xf>
    <xf numFmtId="0" fontId="9" fillId="4" borderId="1" applyAlignment="1" pivotButton="0" quotePrefix="0" xfId="0">
      <alignment horizontal="center" vertical="center"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5" topLeftCell="A6" activePane="bottomLeft" state="frozen"/>
      <selection pane="bottomLeft" activeCell="A1" sqref="A1"/>
    </sheetView>
  </sheetViews>
  <sheetFormatPr baseColWidth="8" defaultRowHeight="15"/>
  <cols>
    <col width="6" customWidth="1" min="1" max="1"/>
    <col width="12" customWidth="1" min="2" max="2"/>
    <col width="22" customWidth="1" min="3" max="3"/>
    <col width="13" customWidth="1" min="4" max="4"/>
    <col width="18" customWidth="1" min="5" max="5"/>
    <col width="12" customWidth="1" min="6" max="6"/>
    <col width="32" customWidth="1" min="7" max="7"/>
    <col width="60" customWidth="1" min="8" max="8"/>
    <col width="38" customWidth="1" min="9" max="9"/>
    <col width="30" customWidth="1" min="10" max="10"/>
    <col width="18" customWidth="1" min="11" max="11"/>
    <col width="12" customWidth="1" min="12" max="12"/>
  </cols>
  <sheetData>
    <row r="1" ht="32" customHeight="1">
      <c r="A1" s="1" t="inlineStr">
        <is>
          <t>TenderFlow — 30-Day Social Media Launch Calendar</t>
        </is>
      </c>
    </row>
    <row r="2" ht="18" customHeight="1">
      <c r="A2" s="2" t="inlineStr">
        <is>
          <t>Update cell B4 with your actual launch start date — all dates auto-calculate from there.</t>
        </is>
      </c>
    </row>
    <row r="3" ht="22" customHeight="1">
      <c r="A3" s="3" t="inlineStr">
        <is>
          <t>Campaign Start Date:</t>
        </is>
      </c>
      <c r="B3" s="4" t="n">
        <v>46161</v>
      </c>
    </row>
    <row r="4" ht="6" customHeight="1"/>
    <row r="5" ht="28" customHeight="1">
      <c r="A5" s="5" t="inlineStr">
        <is>
          <t>Day</t>
        </is>
      </c>
      <c r="B5" s="5" t="inlineStr">
        <is>
          <t>Date</t>
        </is>
      </c>
      <c r="C5" s="5" t="inlineStr">
        <is>
          <t>Phase</t>
        </is>
      </c>
      <c r="D5" s="5" t="inlineStr">
        <is>
          <t>Platform</t>
        </is>
      </c>
      <c r="E5" s="5" t="inlineStr">
        <is>
          <t>Pillar</t>
        </is>
      </c>
      <c r="F5" s="5" t="inlineStr">
        <is>
          <t>Post Type</t>
        </is>
      </c>
      <c r="G5" s="5" t="inlineStr">
        <is>
          <t>Subject / Hook</t>
        </is>
      </c>
      <c r="H5" s="5" t="inlineStr">
        <is>
          <t>Post Copy</t>
        </is>
      </c>
      <c r="I5" s="5" t="inlineStr">
        <is>
          <t>Hashtags</t>
        </is>
      </c>
      <c r="J5" s="5" t="inlineStr">
        <is>
          <t>Visual Tip</t>
        </is>
      </c>
      <c r="K5" s="5" t="inlineStr">
        <is>
          <t>Best Time (UTC+3)</t>
        </is>
      </c>
      <c r="L5" s="5" t="inlineStr">
        <is>
          <t>Status</t>
        </is>
      </c>
    </row>
    <row r="6" ht="70" customHeight="1">
      <c r="A6" s="6" t="n">
        <v>1</v>
      </c>
      <c r="B6" s="7">
        <f>B3+0</f>
        <v/>
      </c>
      <c r="C6" s="6" t="inlineStr">
        <is>
          <t>Phase 1 — Build &amp; Tease</t>
        </is>
      </c>
      <c r="D6" s="5" t="inlineStr">
        <is>
          <t>LinkedIn</t>
        </is>
      </c>
      <c r="E6" s="6" t="inlineStr">
        <is>
          <t>Community</t>
        </is>
      </c>
      <c r="F6" s="6" t="inlineStr">
        <is>
          <t>Announcement</t>
        </is>
      </c>
      <c r="G6" s="6" t="inlineStr">
        <is>
          <t>TenderFlow is almost here 👀</t>
        </is>
      </c>
      <c r="H6" s="8" t="inlineStr">
        <is>
          <t>Something we've been building for Africa's businesses is about to launch.
Africa's procurement market is worth hundreds of billions annually. But most of the people who could win the work never even see the opportunities.
We've been quietly fixing that. Stay tuned — launching in 2 weeks.
Follow TenderFlow to be the first to know.</t>
        </is>
      </c>
      <c r="I6" s="8" t="inlineStr">
        <is>
          <t>#AfricaBusiness #Procurement #ComingSoon #TenderFlow</t>
        </is>
      </c>
      <c r="J6" s="8" t="inlineStr">
        <is>
          <t>Clean navy graphic: 'Something big is coming' with TenderFlow logo</t>
        </is>
      </c>
      <c r="K6" s="9" t="inlineStr">
        <is>
          <t>8:00 AM</t>
        </is>
      </c>
      <c r="L6" s="10" t="inlineStr">
        <is>
          <t>Pending</t>
        </is>
      </c>
    </row>
    <row r="7" ht="70" customHeight="1">
      <c r="A7" s="6" t="n">
        <v>1</v>
      </c>
      <c r="B7" s="7">
        <f>B3+0</f>
        <v/>
      </c>
      <c r="C7" s="6" t="inlineStr">
        <is>
          <t>Phase 1 — Build &amp; Tease</t>
        </is>
      </c>
      <c r="D7" s="11" t="inlineStr">
        <is>
          <t>X/Twitter</t>
        </is>
      </c>
      <c r="E7" s="6" t="inlineStr">
        <is>
          <t>Africa Business</t>
        </is>
      </c>
      <c r="F7" s="6" t="inlineStr">
        <is>
          <t>Text</t>
        </is>
      </c>
      <c r="G7" s="6" t="inlineStr">
        <is>
          <t>Africa's $1T+ procurement market is almost entirely invisible</t>
        </is>
      </c>
      <c r="H7" s="8" t="inlineStr">
        <is>
          <t>Africa's procurement market is worth hundreds of billions every year.
Buried in ministry websites. Stuck in PDFs. Shared in WhatsApp groups.
The businesses that could win the work never see the opportunities.
We're fixing that. Launching in 2 weeks. Follow for updates.
#TenderFlow #AfricaBusiness</t>
        </is>
      </c>
      <c r="I7" s="8" t="inlineStr">
        <is>
          <t>#TenderFlow #AfricaBusiness #Procurement #Africa</t>
        </is>
      </c>
      <c r="J7" s="8" t="inlineStr">
        <is>
          <t>Dark text on gold background with a map of Africa</t>
        </is>
      </c>
      <c r="K7" s="9" t="inlineStr">
        <is>
          <t>9:00 AM</t>
        </is>
      </c>
      <c r="L7" s="10" t="inlineStr">
        <is>
          <t>Pending</t>
        </is>
      </c>
    </row>
    <row r="8" ht="70" customHeight="1">
      <c r="A8" s="6" t="n">
        <v>2</v>
      </c>
      <c r="B8" s="7">
        <f>B3+1</f>
        <v/>
      </c>
      <c r="C8" s="6" t="inlineStr">
        <is>
          <t>Phase 1 — Build &amp; Tease</t>
        </is>
      </c>
      <c r="D8" s="12" t="inlineStr">
        <is>
          <t>Instagram</t>
        </is>
      </c>
      <c r="E8" s="6" t="inlineStr">
        <is>
          <t>Africa Business</t>
        </is>
      </c>
      <c r="F8" s="6" t="inlineStr">
        <is>
          <t>Image</t>
        </is>
      </c>
      <c r="G8" s="6" t="inlineStr">
        <is>
          <t>STAT: African public procurement = 15–20% of GDP</t>
        </is>
      </c>
      <c r="H8" s="8" t="inlineStr">
        <is>
          <t>Did you know?
African public procurement accounts for 15–20% of GDP in many countries.
That's trillions in contracts awarded every year.
And most businesses never even see the tender notices.
We're changing that. Link in bio when we launch. 🌍
#Africa #Business #Procurement #SME</t>
        </is>
      </c>
      <c r="I8" s="8" t="inlineStr">
        <is>
          <t>#Africa #Business #Procurement #SME #TenderFlow #Tenders</t>
        </is>
      </c>
      <c r="J8" s="8" t="inlineStr">
        <is>
          <t>Bold stat card: '15–20% of GDP' in gold on navy. Simple, shareable.</t>
        </is>
      </c>
      <c r="K8" s="9" t="inlineStr">
        <is>
          <t>12:00 PM</t>
        </is>
      </c>
      <c r="L8" s="10" t="inlineStr">
        <is>
          <t>Pending</t>
        </is>
      </c>
    </row>
    <row r="9" ht="70" customHeight="1">
      <c r="A9" s="6" t="n">
        <v>2</v>
      </c>
      <c r="B9" s="7">
        <f>B3+1</f>
        <v/>
      </c>
      <c r="C9" s="6" t="inlineStr">
        <is>
          <t>Phase 1 — Build &amp; Tease</t>
        </is>
      </c>
      <c r="D9" s="13" t="inlineStr">
        <is>
          <t>Facebook</t>
        </is>
      </c>
      <c r="E9" s="6" t="inlineStr">
        <is>
          <t>Community</t>
        </is>
      </c>
      <c r="F9" s="6" t="inlineStr">
        <is>
          <t>Text</t>
        </is>
      </c>
      <c r="G9" s="6" t="inlineStr">
        <is>
          <t>Coming soon: a better way to find African tenders</t>
        </is>
      </c>
      <c r="H9" s="8" t="inlineStr">
        <is>
          <t>We're launching something for African businesses in 2 weeks.
If you've ever missed a tender deadline because you found out too late — or spent hours searching ministry websites — this is for you.
Government. NGO. SME. All in one place.
Follow this page to be among the first to try it.
👇 Who here regularly bids on tenders? Drop your sector in the comments.</t>
        </is>
      </c>
      <c r="I9" s="8" t="inlineStr">
        <is>
          <t>#AfricaBusiness #Tenders #Procurement #SME</t>
        </is>
      </c>
      <c r="J9" s="8" t="inlineStr">
        <is>
          <t>Teaser graphic with blurred screenshot of the platform</t>
        </is>
      </c>
      <c r="K9" s="9" t="inlineStr">
        <is>
          <t>10:00 AM</t>
        </is>
      </c>
      <c r="L9" s="10" t="inlineStr">
        <is>
          <t>Pending</t>
        </is>
      </c>
    </row>
    <row r="10" ht="70" customHeight="1">
      <c r="A10" s="6" t="n">
        <v>3</v>
      </c>
      <c r="B10" s="7">
        <f>B3+2</f>
        <v/>
      </c>
      <c r="C10" s="6" t="inlineStr">
        <is>
          <t>Phase 1 — Build &amp; Tease</t>
        </is>
      </c>
      <c r="D10" s="5" t="inlineStr">
        <is>
          <t>LinkedIn</t>
        </is>
      </c>
      <c r="E10" s="6" t="inlineStr">
        <is>
          <t>Education</t>
        </is>
      </c>
      <c r="F10" s="6" t="inlineStr">
        <is>
          <t>Article</t>
        </is>
      </c>
      <c r="G10" s="6" t="inlineStr">
        <is>
          <t>Why most African businesses never see the tenders they could win</t>
        </is>
      </c>
      <c r="H10" s="8" t="inlineStr">
        <is>
          <t>Every working day, hundreds of tender notices are published across Africa.
Here's where they go:
• Ministry PDFs nobody reads
• Local newspapers with limited circulation
• Procurement portals that require registration
• WhatsApp forwards from contacts you may or may not have
Most businesses only find out after the deadline.
That's the problem we built TenderFlow to solve. 14 countries. 3 source types. One feed.
Launching in 11 days. Follow this page.</t>
        </is>
      </c>
      <c r="I10" s="8" t="inlineStr">
        <is>
          <t>#AfricaBusiness #Procurement #Tenders #TenderFlow #PanAfrica</t>
        </is>
      </c>
      <c r="J10" s="8" t="inlineStr">
        <is>
          <t>Infographic showing the 'fragmentation' problem — sources scattered everywhere</t>
        </is>
      </c>
      <c r="K10" s="9" t="inlineStr">
        <is>
          <t>8:30 AM</t>
        </is>
      </c>
      <c r="L10" s="10" t="inlineStr">
        <is>
          <t>Pending</t>
        </is>
      </c>
    </row>
    <row r="11" ht="70" customHeight="1">
      <c r="A11" s="6" t="n">
        <v>4</v>
      </c>
      <c r="B11" s="7">
        <f>B3+3</f>
        <v/>
      </c>
      <c r="C11" s="6" t="inlineStr">
        <is>
          <t>Phase 1 — Build &amp; Tease</t>
        </is>
      </c>
      <c r="D11" s="11" t="inlineStr">
        <is>
          <t>X/Twitter</t>
        </is>
      </c>
      <c r="E11" s="6" t="inlineStr">
        <is>
          <t>Education</t>
        </is>
      </c>
      <c r="F11" s="6" t="inlineStr">
        <is>
          <t>Thread</t>
        </is>
      </c>
      <c r="G11" s="6" t="inlineStr">
        <is>
          <t>A thread: How procurement in Africa actually works 🧵</t>
        </is>
      </c>
      <c r="H11" s="8" t="inlineStr">
        <is>
          <t>A thread on how public procurement works in Africa — and why it's so hard to track 🧵
1/ Africa has 54 countries. Each has its own procurement system, portal (if any), and publishing standard.
2/ Government tenders are published in: Official gazettes, Ministry websites, Local newspapers, Physical notice boards.
3/ Most portals require paid registration or aren't updated regularly.
4/ NGO and donor-funded tenders go through separate systems entirely.
5/ TenderFlow aggregates all of this into one feed. 14 countries. Free.
Launching in 10 days. 👇</t>
        </is>
      </c>
      <c r="I11" s="8" t="inlineStr">
        <is>
          <t>#AfricaBusiness #Procurement #Africa #TenderFlow</t>
        </is>
      </c>
      <c r="J11" s="8" t="inlineStr">
        <is>
          <t>Simple numbered graphic for thread opener — '5 things about African procurement'</t>
        </is>
      </c>
      <c r="K11" s="9" t="inlineStr">
        <is>
          <t>10:00 AM</t>
        </is>
      </c>
      <c r="L11" s="10" t="inlineStr">
        <is>
          <t>Pending</t>
        </is>
      </c>
    </row>
    <row r="12" ht="70" customHeight="1">
      <c r="A12" s="6" t="n">
        <v>5</v>
      </c>
      <c r="B12" s="7">
        <f>B3+4</f>
        <v/>
      </c>
      <c r="C12" s="6" t="inlineStr">
        <is>
          <t>Phase 1 — Build &amp; Tease</t>
        </is>
      </c>
      <c r="D12" s="14" t="inlineStr">
        <is>
          <t>WhatsApp</t>
        </is>
      </c>
      <c r="E12" s="6" t="inlineStr">
        <is>
          <t>Community</t>
        </is>
      </c>
      <c r="F12" s="6" t="inlineStr">
        <is>
          <t>Announcement</t>
        </is>
      </c>
      <c r="G12" s="6" t="inlineStr">
        <is>
          <t>TenderFlow WhatsApp Channel is live — join before launch</t>
        </is>
      </c>
      <c r="H12" s="8" t="inlineStr">
        <is>
          <t>📣 TenderFlow Alert Channel is now live on WhatsApp.
We're launching Africa's first pan-African tender aggregation platform in 10 days.
Subscribe now to get:
✅ Daily tender alerts straight to WhatsApp
✅ Closing-soon reminders
✅ Country &amp; sector digests
Share this channel with anyone who bids on tenders.</t>
        </is>
      </c>
      <c r="I12" s="8" t="inlineStr"/>
      <c r="J12" s="8" t="inlineStr">
        <is>
          <t>WhatsApp Channel setup post — include QR code graphic</t>
        </is>
      </c>
      <c r="K12" s="9" t="inlineStr">
        <is>
          <t>11:00 AM</t>
        </is>
      </c>
      <c r="L12" s="10" t="inlineStr">
        <is>
          <t>Pending</t>
        </is>
      </c>
    </row>
    <row r="13" ht="70" customHeight="1">
      <c r="A13" s="6" t="n">
        <v>5</v>
      </c>
      <c r="B13" s="7">
        <f>B3+4</f>
        <v/>
      </c>
      <c r="C13" s="6" t="inlineStr">
        <is>
          <t>Phase 1 — Build &amp; Tease</t>
        </is>
      </c>
      <c r="D13" s="12" t="inlineStr">
        <is>
          <t>Instagram</t>
        </is>
      </c>
      <c r="E13" s="6" t="inlineStr">
        <is>
          <t>Education</t>
        </is>
      </c>
      <c r="F13" s="6" t="inlineStr">
        <is>
          <t>Carousel</t>
        </is>
      </c>
      <c r="G13" s="6" t="inlineStr">
        <is>
          <t>3 types of tenders in Africa — which one is right for you?</t>
        </is>
      </c>
      <c r="H13" s="8" t="inlineStr">
        <is>
          <t>Not all tenders are the same.
Swipe to see the 3 types TenderFlow covers 👉
1. Government — Ministries, parastatals, county/local govt.
2. NGO — Donor-funded projects, foundations, INGOs.
3. SME — Smaller lots, sub-contracts, accessible terms.
TenderFlow brings all three together. Launching soon. Link in bio. 🌍</t>
        </is>
      </c>
      <c r="I13" s="8" t="inlineStr">
        <is>
          <t>#Tenders #Africa #NGO #Government #SME #Procurement</t>
        </is>
      </c>
      <c r="J13" s="8" t="inlineStr">
        <is>
          <t>3-slide carousel: one slide per source type in brand colours</t>
        </is>
      </c>
      <c r="K13" s="9" t="inlineStr">
        <is>
          <t>12:00 PM</t>
        </is>
      </c>
      <c r="L13" s="10" t="inlineStr">
        <is>
          <t>Pending</t>
        </is>
      </c>
    </row>
    <row r="14" ht="70" customHeight="1">
      <c r="A14" s="6" t="n">
        <v>7</v>
      </c>
      <c r="B14" s="7">
        <f>B3+6</f>
        <v/>
      </c>
      <c r="C14" s="6" t="inlineStr">
        <is>
          <t>Phase 1 — Build &amp; Tease</t>
        </is>
      </c>
      <c r="D14" s="5" t="inlineStr">
        <is>
          <t>LinkedIn</t>
        </is>
      </c>
      <c r="E14" s="6" t="inlineStr">
        <is>
          <t>Community</t>
        </is>
      </c>
      <c r="F14" s="6" t="inlineStr">
        <is>
          <t>Founder Story</t>
        </is>
      </c>
      <c r="G14" s="6" t="inlineStr">
        <is>
          <t>Why we built TenderFlow — the problem is personal</t>
        </is>
      </c>
      <c r="H14" s="8" t="inlineStr">
        <is>
          <t>Africa's procurement market is one of the most undercovered business stories on the continent.
Millistries publish tenders. NGOs source suppliers. SMEs offer sub-contracts.
And the information is scattered across hundreds of websites, PDFs, and WhatsApp groups.
We built TenderFlow because we watched businesses miss opportunities they were perfectly positioned to win — simply because they never found the tender in time.
We cover 14 countries: Kenya, Nigeria, Rwanda, Ghana, South Africa, Uganda, Tanzania, Ethiopia, Egypt, Côte d'Ivoire, Zambia, Botswana, Mali, and Senegal.
Government. NGO. SME. One feed. Free.
Launching in 8 days.</t>
        </is>
      </c>
      <c r="I14" s="8" t="inlineStr">
        <is>
          <t>#AfricaBusiness #Procurement #TenderFlow #Founders #PanAfrica</t>
        </is>
      </c>
      <c r="J14" s="8" t="inlineStr">
        <is>
          <t>Founder photo or map of 14 countries highlighted</t>
        </is>
      </c>
      <c r="K14" s="9" t="inlineStr">
        <is>
          <t>9:00 AM</t>
        </is>
      </c>
      <c r="L14" s="10" t="inlineStr">
        <is>
          <t>Pending</t>
        </is>
      </c>
    </row>
    <row r="15" ht="70" customHeight="1">
      <c r="A15" s="6" t="n">
        <v>8</v>
      </c>
      <c r="B15" s="7">
        <f>B3+7</f>
        <v/>
      </c>
      <c r="C15" s="6" t="inlineStr">
        <is>
          <t>Phase 1 — Build &amp; Tease</t>
        </is>
      </c>
      <c r="D15" s="13" t="inlineStr">
        <is>
          <t>Facebook</t>
        </is>
      </c>
      <c r="E15" s="6" t="inlineStr">
        <is>
          <t>Education</t>
        </is>
      </c>
      <c r="F15" s="6" t="inlineStr">
        <is>
          <t>Video</t>
        </is>
      </c>
      <c r="G15" s="6" t="inlineStr">
        <is>
          <t>30-second preview: What TenderFlow looks like</t>
        </is>
      </c>
      <c r="H15" s="8" t="inlineStr">
        <is>
          <t>Here's a quick look at what TenderFlow does.
📋 Browse tenders from 14 African countries
🔍 Filter by sector, country, or source
📅 See deadlines at a glance
📥 Download original documents
Launching in 7 days. Like this page to get notified.
tenderflow.africa</t>
        </is>
      </c>
      <c r="I15" s="8" t="inlineStr">
        <is>
          <t>#TenderFlow #AfricaBusiness #Procurement #Tenders</t>
        </is>
      </c>
      <c r="J15" s="8" t="inlineStr">
        <is>
          <t>Screen recording walkthrough of the site — 30 seconds, no voiceover, text overlays</t>
        </is>
      </c>
      <c r="K15" s="9" t="inlineStr">
        <is>
          <t>11:00 AM</t>
        </is>
      </c>
      <c r="L15" s="10" t="inlineStr">
        <is>
          <t>Pending</t>
        </is>
      </c>
    </row>
    <row r="16" ht="70" customHeight="1">
      <c r="A16" s="6" t="n">
        <v>9</v>
      </c>
      <c r="B16" s="7">
        <f>B3+8</f>
        <v/>
      </c>
      <c r="C16" s="6" t="inlineStr">
        <is>
          <t>Phase 1 — Build &amp; Tease</t>
        </is>
      </c>
      <c r="D16" s="11" t="inlineStr">
        <is>
          <t>X/Twitter</t>
        </is>
      </c>
      <c r="E16" s="6" t="inlineStr">
        <is>
          <t>Community</t>
        </is>
      </c>
      <c r="F16" s="6" t="inlineStr">
        <is>
          <t>Poll</t>
        </is>
      </c>
      <c r="G16" s="6" t="inlineStr">
        <is>
          <t>How do you currently find tenders? [Poll]</t>
        </is>
      </c>
      <c r="H16" s="8" t="inlineStr">
        <is>
          <t>Quick poll: How do you currently find tender opportunities in Africa?
🔵 Ministry/govt websites
🟡 WhatsApp &amp; word of mouth
🟢 Paid subscription service
🔴 I mostly miss them
#Procurement #Africa #Tenders</t>
        </is>
      </c>
      <c r="I16" s="8" t="inlineStr">
        <is>
          <t>#Procurement #Africa #Tenders #TenderFlow</t>
        </is>
      </c>
      <c r="J16" s="8" t="inlineStr">
        <is>
          <t>Twitter/X native poll — no image needed</t>
        </is>
      </c>
      <c r="K16" s="9" t="inlineStr">
        <is>
          <t>10:00 AM</t>
        </is>
      </c>
      <c r="L16" s="10" t="inlineStr">
        <is>
          <t>Pending</t>
        </is>
      </c>
    </row>
    <row r="17" ht="70" customHeight="1">
      <c r="A17" s="6" t="n">
        <v>10</v>
      </c>
      <c r="B17" s="7">
        <f>B3+9</f>
        <v/>
      </c>
      <c r="C17" s="6" t="inlineStr">
        <is>
          <t>Phase 1 — Build &amp; Tease</t>
        </is>
      </c>
      <c r="D17" s="5" t="inlineStr">
        <is>
          <t>LinkedIn</t>
        </is>
      </c>
      <c r="E17" s="6" t="inlineStr">
        <is>
          <t>Education</t>
        </is>
      </c>
      <c r="F17" s="6" t="inlineStr">
        <is>
          <t>Carousel</t>
        </is>
      </c>
      <c r="G17" s="6" t="inlineStr">
        <is>
          <t>The 10 most active tender sectors in Africa right now</t>
        </is>
      </c>
      <c r="H17" s="8" t="inlineStr">
        <is>
          <t>These are the 10 sectors with the most active tenders across Africa right now:
1. ICT &amp; Software
2. Construction &amp; Civil Works
3. Healthcare &amp; Medical
4. Agriculture &amp; Agribusiness
5. Consulting &amp; Advisory
6. Energy &amp; Utilities
7. Logistics &amp; Transport
8. General Supplies
9. Security &amp; Cleaning
10. Media &amp; Creative
TenderFlow covers all 10. Launching in 5 days.
Which sector do you bid in? 👇</t>
        </is>
      </c>
      <c r="I17" s="8" t="inlineStr">
        <is>
          <t>#AfricaBusiness #Procurement #Sectors #TenderFlow</t>
        </is>
      </c>
      <c r="J17" s="8" t="inlineStr">
        <is>
          <t>10-slide carousel, one sector per slide with brief description</t>
        </is>
      </c>
      <c r="K17" s="9" t="inlineStr">
        <is>
          <t>8:00 AM</t>
        </is>
      </c>
      <c r="L17" s="10" t="inlineStr">
        <is>
          <t>Pending</t>
        </is>
      </c>
    </row>
    <row r="18" ht="70" customHeight="1">
      <c r="A18" s="6" t="n">
        <v>11</v>
      </c>
      <c r="B18" s="7">
        <f>B3+10</f>
        <v/>
      </c>
      <c r="C18" s="6" t="inlineStr">
        <is>
          <t>Phase 1 — Build &amp; Tease</t>
        </is>
      </c>
      <c r="D18" s="12" t="inlineStr">
        <is>
          <t>Instagram</t>
        </is>
      </c>
      <c r="E18" s="6" t="inlineStr">
        <is>
          <t>Africa Business</t>
        </is>
      </c>
      <c r="F18" s="6" t="inlineStr">
        <is>
          <t>Image</t>
        </is>
      </c>
      <c r="G18" s="6" t="inlineStr">
        <is>
          <t>14 countries. One feed. [Infographic]</t>
        </is>
      </c>
      <c r="H18" s="8" t="inlineStr">
        <is>
          <t>TenderFlow covers 14 African countries:
🇰🇪 Kenya | 🇳🇬 Nigeria | 🇷🇼 Rwanda | 🇬🇭 Ghana
🇿🇦 South Africa | 🇺🇬 Uganda | 🇹🇿 Tanzania | 🇪🇹 Ethiopia
🇪🇬 Egypt | 🇨🇮 Côte d'Ivoire | 🇿🇲 Zambia | 🇧🇼 Botswana
🇲🇱 Mali | 🇸🇳 Senegal
More coming soon.
Launching in 4 days. Link in bio.
#Africa #Business #PanAfrica</t>
        </is>
      </c>
      <c r="I18" s="8" t="inlineStr">
        <is>
          <t>#Africa #PanAfrica #Business #Tenders #TenderFlow</t>
        </is>
      </c>
      <c r="J18" s="8" t="inlineStr">
        <is>
          <t>Africa map with 14 countries highlighted in gold on navy</t>
        </is>
      </c>
      <c r="K18" s="9" t="inlineStr">
        <is>
          <t>12:00 PM</t>
        </is>
      </c>
      <c r="L18" s="10" t="inlineStr">
        <is>
          <t>Pending</t>
        </is>
      </c>
    </row>
    <row r="19" ht="70" customHeight="1">
      <c r="A19" s="6" t="n">
        <v>12</v>
      </c>
      <c r="B19" s="7">
        <f>B3+11</f>
        <v/>
      </c>
      <c r="C19" s="6" t="inlineStr">
        <is>
          <t>Phase 1 — Build &amp; Tease</t>
        </is>
      </c>
      <c r="D19" s="5" t="inlineStr">
        <is>
          <t>LinkedIn</t>
        </is>
      </c>
      <c r="E19" s="6" t="inlineStr">
        <is>
          <t>Community</t>
        </is>
      </c>
      <c r="F19" s="6" t="inlineStr">
        <is>
          <t>Feature Preview</t>
        </is>
      </c>
      <c r="G19" s="6" t="inlineStr">
        <is>
          <t>Meet the Consultant Marketplace — free for bid writers</t>
        </is>
      </c>
      <c r="H19" s="8" t="inlineStr">
        <is>
          <t>TenderFlow isn't just a tender listing site.
We're also launching a free consultant marketplace.
If you're a bid writer, tender evaluator, procurement consultant, or M&amp;E specialist — you can list your profile on TenderFlow and get discovered by businesses bidding on tenders across Africa.
Free to register. Free to be found. You only pay if you proceed with an engagement.
Interested? The sign-up page will be live in 3 days.
Tag a consultant who should know about this 👇</t>
        </is>
      </c>
      <c r="I19" s="8" t="inlineStr">
        <is>
          <t>#Consultants #BidWriting #Procurement #Africa #TenderFlow</t>
        </is>
      </c>
      <c r="J19" s="8" t="inlineStr">
        <is>
          <t>Screenshot of the consultant listing page UI</t>
        </is>
      </c>
      <c r="K19" s="9" t="inlineStr">
        <is>
          <t>9:00 AM</t>
        </is>
      </c>
      <c r="L19" s="10" t="inlineStr">
        <is>
          <t>Pending</t>
        </is>
      </c>
    </row>
    <row r="20" ht="70" customHeight="1">
      <c r="A20" s="6" t="n">
        <v>14</v>
      </c>
      <c r="B20" s="7">
        <f>B3+13</f>
        <v/>
      </c>
      <c r="C20" s="6" t="inlineStr">
        <is>
          <t>Phase 1 — Build &amp; Tease</t>
        </is>
      </c>
      <c r="D20" s="15" t="inlineStr">
        <is>
          <t>All</t>
        </is>
      </c>
      <c r="E20" s="6" t="inlineStr">
        <is>
          <t>Community</t>
        </is>
      </c>
      <c r="F20" s="6" t="inlineStr">
        <is>
          <t>Countdown</t>
        </is>
      </c>
      <c r="G20" s="6" t="inlineStr">
        <is>
          <t>1 day to launch 🚀</t>
        </is>
      </c>
      <c r="H20" s="8" t="inlineStr">
        <is>
          <t>Tomorrow. TenderFlow goes live.
✅ Government tenders
✅ NGO opportunities
✅ SME contracts
✅ 14 African countries
✅ Free. No paywall.
tenderflow.africa
Set a reminder. Share with someone who bids on tenders.</t>
        </is>
      </c>
      <c r="I20" s="8" t="inlineStr">
        <is>
          <t>#TenderFlow #AfricaBusiness #Procurement #Launch</t>
        </is>
      </c>
      <c r="J20" s="8" t="inlineStr">
        <is>
          <t>Countdown graphic: '1 Day' in bold gold on navy</t>
        </is>
      </c>
      <c r="K20" s="9" t="inlineStr">
        <is>
          <t>8:00 AM</t>
        </is>
      </c>
      <c r="L20" s="10" t="inlineStr">
        <is>
          <t>Pending</t>
        </is>
      </c>
    </row>
    <row r="21" ht="70" customHeight="1">
      <c r="A21" s="16" t="n">
        <v>15</v>
      </c>
      <c r="B21" s="17">
        <f>B3+14</f>
        <v/>
      </c>
      <c r="C21" s="16" t="inlineStr">
        <is>
          <t>Phase 2 — Launch Blast</t>
        </is>
      </c>
      <c r="D21" s="5" t="inlineStr">
        <is>
          <t>LinkedIn</t>
        </is>
      </c>
      <c r="E21" s="16" t="inlineStr">
        <is>
          <t>Community</t>
        </is>
      </c>
      <c r="F21" s="16" t="inlineStr">
        <is>
          <t>Launch Post</t>
        </is>
      </c>
      <c r="G21" s="16" t="inlineStr">
        <is>
          <t>🚀 TenderFlow is live</t>
        </is>
      </c>
      <c r="H21" s="8" t="inlineStr">
        <is>
          <t>TenderFlow is live.
Africa's first platform to bring government, NGO, and SME tenders from 14 countries into one searchable feed.
✅ Filter by country, sector, and source type
✅ See deadlines at a glance
✅ Download original documents
✅ Find vetted bid consultants
✅ Free. No paywall. No subscription.
This is for the contractors, suppliers, consultants, and businesses across Africa who are tired of missing opportunities they were built to win.
🌍 tenderflow.africa
If this is useful to someone you know — please share it.</t>
        </is>
      </c>
      <c r="I21" s="8" t="inlineStr">
        <is>
          <t>#TenderFlow #AfricaBusiness #Procurement #Tenders #PanAfrica #Launch</t>
        </is>
      </c>
      <c r="J21" s="8" t="inlineStr">
        <is>
          <t>Launch announcement graphic — TenderFlow wordmark + 'We're live' on navy</t>
        </is>
      </c>
      <c r="K21" s="9" t="inlineStr">
        <is>
          <t>8:00 AM</t>
        </is>
      </c>
      <c r="L21" s="10" t="inlineStr">
        <is>
          <t>Pending</t>
        </is>
      </c>
    </row>
    <row r="22" ht="70" customHeight="1">
      <c r="A22" s="16" t="n">
        <v>15</v>
      </c>
      <c r="B22" s="17">
        <f>B3+14</f>
        <v/>
      </c>
      <c r="C22" s="16" t="inlineStr">
        <is>
          <t>Phase 2 — Launch Blast</t>
        </is>
      </c>
      <c r="D22" s="11" t="inlineStr">
        <is>
          <t>X/Twitter</t>
        </is>
      </c>
      <c r="E22" s="16" t="inlineStr">
        <is>
          <t>Community</t>
        </is>
      </c>
      <c r="F22" s="16" t="inlineStr">
        <is>
          <t>Launch Post</t>
        </is>
      </c>
      <c r="G22" s="16" t="inlineStr">
        <is>
          <t>🚀 TenderFlow is live — Africa's tender intelligence platform</t>
        </is>
      </c>
      <c r="H22" s="8" t="inlineStr">
        <is>
          <t>🚀 TenderFlow is live.
Africa's procurement market is worth hundreds of billions. Most of it is invisible to the people who could win it.
Not anymore.
✅ Government, NGO &amp; SME tenders
✅ 14 African countries
✅ Free
tenderflow.africa
#TenderFlow #AfricaBusiness #Procurement</t>
        </is>
      </c>
      <c r="I22" s="8" t="inlineStr">
        <is>
          <t>#TenderFlow #AfricaBusiness #Procurement #Africa #Tenders #Launch</t>
        </is>
      </c>
      <c r="J22" s="8" t="inlineStr">
        <is>
          <t>Launch graphic — bold, high contrast, shareable</t>
        </is>
      </c>
      <c r="K22" s="9" t="inlineStr">
        <is>
          <t>8:00 AM</t>
        </is>
      </c>
      <c r="L22" s="10" t="inlineStr">
        <is>
          <t>Pending</t>
        </is>
      </c>
    </row>
    <row r="23" ht="70" customHeight="1">
      <c r="A23" s="16" t="n">
        <v>15</v>
      </c>
      <c r="B23" s="17">
        <f>B3+14</f>
        <v/>
      </c>
      <c r="C23" s="16" t="inlineStr">
        <is>
          <t>Phase 2 — Launch Blast</t>
        </is>
      </c>
      <c r="D23" s="13" t="inlineStr">
        <is>
          <t>Facebook</t>
        </is>
      </c>
      <c r="E23" s="16" t="inlineStr">
        <is>
          <t>Community</t>
        </is>
      </c>
      <c r="F23" s="16" t="inlineStr">
        <is>
          <t>Launch Post</t>
        </is>
      </c>
      <c r="G23" s="16" t="inlineStr">
        <is>
          <t>We're live! Browse African tenders for free</t>
        </is>
      </c>
      <c r="H23" s="8" t="inlineStr">
        <is>
          <t>🎉 TenderFlow is officially live!
If you're a business, contractor, supplier, or consultant in Africa — this is for you.
📋 Government tenders from ministries and parastatals
📋 NGO and donor-funded opportunities
📋 SME and sub-contracting opportunities
📋 14 African countries in one feed
📋 100% free
👉 Visit tenderflow.africa and start browsing now.
Share this with your networks — the more people who know about African procurement opportunities, the better.</t>
        </is>
      </c>
      <c r="I23" s="8" t="inlineStr">
        <is>
          <t>#TenderFlow #AfricaBusiness #Tenders #Procurement #SME</t>
        </is>
      </c>
      <c r="J23" s="8" t="inlineStr">
        <is>
          <t>Launch banner with site screenshot + CTA</t>
        </is>
      </c>
      <c r="K23" s="9" t="inlineStr">
        <is>
          <t>8:00 AM</t>
        </is>
      </c>
      <c r="L23" s="10" t="inlineStr">
        <is>
          <t>Pending</t>
        </is>
      </c>
    </row>
    <row r="24" ht="70" customHeight="1">
      <c r="A24" s="16" t="n">
        <v>15</v>
      </c>
      <c r="B24" s="17">
        <f>B3+14</f>
        <v/>
      </c>
      <c r="C24" s="16" t="inlineStr">
        <is>
          <t>Phase 2 — Launch Blast</t>
        </is>
      </c>
      <c r="D24" s="12" t="inlineStr">
        <is>
          <t>Instagram</t>
        </is>
      </c>
      <c r="E24" s="16" t="inlineStr">
        <is>
          <t>Community</t>
        </is>
      </c>
      <c r="F24" s="16" t="inlineStr">
        <is>
          <t>Launch Post</t>
        </is>
      </c>
      <c r="G24" s="16" t="inlineStr">
        <is>
          <t>We're live 🌍 Link in bio</t>
        </is>
      </c>
      <c r="H24" s="8" t="inlineStr">
        <is>
          <t>TenderFlow is live. 🚀
Government · NGO · SME tenders from 14 African countries.
Free. No paywall.
Link in bio 👆
#TenderFlow #Africa #Tenders #Business #Procurement #SME #NGO #PanAfrica</t>
        </is>
      </c>
      <c r="I24" s="8" t="inlineStr">
        <is>
          <t>#TenderFlow #Africa #Tenders #Business #Procurement #SME #NGO #PanAfrica</t>
        </is>
      </c>
      <c r="J24" s="8" t="inlineStr">
        <is>
          <t>Launch reel: 15-sec screen walkthrough with music</t>
        </is>
      </c>
      <c r="K24" s="9" t="inlineStr">
        <is>
          <t>8:30 AM</t>
        </is>
      </c>
      <c r="L24" s="10" t="inlineStr">
        <is>
          <t>Pending</t>
        </is>
      </c>
    </row>
    <row r="25" ht="70" customHeight="1">
      <c r="A25" s="16" t="n">
        <v>15</v>
      </c>
      <c r="B25" s="17">
        <f>B3+14</f>
        <v/>
      </c>
      <c r="C25" s="16" t="inlineStr">
        <is>
          <t>Phase 2 — Launch Blast</t>
        </is>
      </c>
      <c r="D25" s="14" t="inlineStr">
        <is>
          <t>WhatsApp</t>
        </is>
      </c>
      <c r="E25" s="16" t="inlineStr">
        <is>
          <t>Community</t>
        </is>
      </c>
      <c r="F25" s="16" t="inlineStr">
        <is>
          <t>Launch Alert</t>
        </is>
      </c>
      <c r="G25" s="16" t="inlineStr">
        <is>
          <t>🚀 TenderFlow is LIVE</t>
        </is>
      </c>
      <c r="H25" s="8" t="inlineStr">
        <is>
          <t>🚀 TenderFlow is LIVE!
Browse government, NGO &amp; SME tender opportunities from 14 African countries — all in one free platform.
🌐 tenderflow.africa
Share with anyone who bids on tenders. 🙏</t>
        </is>
      </c>
      <c r="I25" s="8" t="inlineStr"/>
      <c r="J25" s="8" t="inlineStr">
        <is>
          <t>WhatsApp channel post — include site link prominently</t>
        </is>
      </c>
      <c r="K25" s="9" t="inlineStr">
        <is>
          <t>8:00 AM</t>
        </is>
      </c>
      <c r="L25" s="10" t="inlineStr">
        <is>
          <t>Pending</t>
        </is>
      </c>
    </row>
    <row r="26" ht="70" customHeight="1">
      <c r="A26" s="16" t="n">
        <v>16</v>
      </c>
      <c r="B26" s="17">
        <f>B3+15</f>
        <v/>
      </c>
      <c r="C26" s="16" t="inlineStr">
        <is>
          <t>Phase 2 — Launch Blast</t>
        </is>
      </c>
      <c r="D26" s="5" t="inlineStr">
        <is>
          <t>LinkedIn</t>
        </is>
      </c>
      <c r="E26" s="16" t="inlineStr">
        <is>
          <t>Tender Alert</t>
        </is>
      </c>
      <c r="F26" s="16" t="inlineStr">
        <is>
          <t>Tender Feature</t>
        </is>
      </c>
      <c r="G26" s="16" t="inlineStr">
        <is>
          <t>Featured tender: [Sector] opportunity in [Country]</t>
        </is>
      </c>
      <c r="H26" s="8" t="inlineStr">
        <is>
          <t>📋 TENDER SPOTLIGHT
This week we're highlighting high-value opportunities on TenderFlow.
Filter by your sector at tenderflow.africa — new tenders added daily.
What sector are you bidding in? Drop it in the comments and we'll point you to the right tenders.</t>
        </is>
      </c>
      <c r="I26" s="8" t="inlineStr">
        <is>
          <t>#Tenders #Procurement #AfricaBusiness #TenderFlow</t>
        </is>
      </c>
      <c r="J26" s="8" t="inlineStr">
        <is>
          <t>Tender card graphic — use the site's card design as template</t>
        </is>
      </c>
      <c r="K26" s="9" t="inlineStr">
        <is>
          <t>9:00 AM</t>
        </is>
      </c>
      <c r="L26" s="10" t="inlineStr">
        <is>
          <t>Pending</t>
        </is>
      </c>
    </row>
    <row r="27" ht="70" customHeight="1">
      <c r="A27" s="16" t="n">
        <v>16</v>
      </c>
      <c r="B27" s="17">
        <f>B3+15</f>
        <v/>
      </c>
      <c r="C27" s="16" t="inlineStr">
        <is>
          <t>Phase 2 — Launch Blast</t>
        </is>
      </c>
      <c r="D27" s="18" t="inlineStr">
        <is>
          <t>YouTube</t>
        </is>
      </c>
      <c r="E27" s="16" t="inlineStr">
        <is>
          <t>Education</t>
        </is>
      </c>
      <c r="F27" s="16" t="inlineStr">
        <is>
          <t>Video</t>
        </is>
      </c>
      <c r="G27" s="16" t="inlineStr">
        <is>
          <t>TenderFlow Platform Walkthrough — How to find African tenders</t>
        </is>
      </c>
      <c r="H27" s="8" t="inlineStr">
        <is>
          <t>Welcome to TenderFlow — Africa's tender intelligence platform.
In this video I'll show you how to: browse tenders, use filters, read a tender detail page, find consultants, and set up your watchlist.
Visit tenderflow.africa to start browsing for free.
#TenderFlow #Africa #Tenders #Procurement</t>
        </is>
      </c>
      <c r="I27" s="8" t="inlineStr">
        <is>
          <t>#TenderFlow #Africa #Tenders #Procurement #AfricaBusiness</t>
        </is>
      </c>
      <c r="J27" s="8" t="inlineStr">
        <is>
          <t>Screen recording with voiceover — aim for 3–5 minutes</t>
        </is>
      </c>
      <c r="K27" s="9" t="inlineStr">
        <is>
          <t>10:00 AM</t>
        </is>
      </c>
      <c r="L27" s="10" t="inlineStr">
        <is>
          <t>Pending</t>
        </is>
      </c>
    </row>
    <row r="28" ht="70" customHeight="1">
      <c r="A28" s="16" t="n">
        <v>17</v>
      </c>
      <c r="B28" s="17">
        <f>B3+16</f>
        <v/>
      </c>
      <c r="C28" s="16" t="inlineStr">
        <is>
          <t>Phase 2 — Launch Blast</t>
        </is>
      </c>
      <c r="D28" s="11" t="inlineStr">
        <is>
          <t>X/Twitter</t>
        </is>
      </c>
      <c r="E28" s="16" t="inlineStr">
        <is>
          <t>Tender Alert</t>
        </is>
      </c>
      <c r="F28" s="16" t="inlineStr">
        <is>
          <t>Daily Alert</t>
        </is>
      </c>
      <c r="G28" s="16" t="inlineStr">
        <is>
          <t>📋 Today's tender picks on TenderFlow</t>
        </is>
      </c>
      <c r="H28" s="8" t="inlineStr">
        <is>
          <t>📋 Today's top tenders on TenderFlow:
🇰🇪 Kenya — ICT procurement
🇳🇬 Nigeria — Construction works
🇿🇦 South Africa — Consulting services
🇬🇭 Ghana — NGO supplies
Full details + docs: tenderflow.africa
#TenderFlow #Tenders #Africa #Procurement</t>
        </is>
      </c>
      <c r="I28" s="8" t="inlineStr">
        <is>
          <t>#TenderFlow #Tenders #Africa #Procurement #Kenya #Nigeria</t>
        </is>
      </c>
      <c r="J28" s="8" t="inlineStr">
        <is>
          <t>4-country tender roundup card</t>
        </is>
      </c>
      <c r="K28" s="9" t="inlineStr">
        <is>
          <t>8:00 AM</t>
        </is>
      </c>
      <c r="L28" s="10" t="inlineStr">
        <is>
          <t>Pending</t>
        </is>
      </c>
    </row>
    <row r="29" ht="70" customHeight="1">
      <c r="A29" s="16" t="n">
        <v>17</v>
      </c>
      <c r="B29" s="17">
        <f>B3+16</f>
        <v/>
      </c>
      <c r="C29" s="16" t="inlineStr">
        <is>
          <t>Phase 2 — Launch Blast</t>
        </is>
      </c>
      <c r="D29" s="12" t="inlineStr">
        <is>
          <t>Instagram</t>
        </is>
      </c>
      <c r="E29" s="16" t="inlineStr">
        <is>
          <t>Education</t>
        </is>
      </c>
      <c r="F29" s="16" t="inlineStr">
        <is>
          <t>Reel</t>
        </is>
      </c>
      <c r="G29" s="16" t="inlineStr">
        <is>
          <t>How to search tenders on TenderFlow in 30 seconds</t>
        </is>
      </c>
      <c r="H29" s="8" t="inlineStr">
        <is>
          <t>🔍 Find your next contract in 30 seconds.
Watch how easy it is to search and filter tenders on TenderFlow.
👆 Link in bio — it's free.
#TenderFlow #Africa #Tenders #Business</t>
        </is>
      </c>
      <c r="I29" s="8" t="inlineStr">
        <is>
          <t>#TenderFlow #Africa #Tenders #Business #Procurement</t>
        </is>
      </c>
      <c r="J29" s="8" t="inlineStr">
        <is>
          <t>30-sec screen record Reel with text overlays and trending audio</t>
        </is>
      </c>
      <c r="K29" s="9" t="inlineStr">
        <is>
          <t>12:00 PM</t>
        </is>
      </c>
      <c r="L29" s="10" t="inlineStr">
        <is>
          <t>Pending</t>
        </is>
      </c>
    </row>
    <row r="30" ht="70" customHeight="1">
      <c r="A30" s="16" t="n">
        <v>18</v>
      </c>
      <c r="B30" s="17">
        <f>B3+17</f>
        <v/>
      </c>
      <c r="C30" s="16" t="inlineStr">
        <is>
          <t>Phase 2 — Launch Blast</t>
        </is>
      </c>
      <c r="D30" s="13" t="inlineStr">
        <is>
          <t>Facebook</t>
        </is>
      </c>
      <c r="E30" s="16" t="inlineStr">
        <is>
          <t>Community</t>
        </is>
      </c>
      <c r="F30" s="16" t="inlineStr">
        <is>
          <t>Engagement</t>
        </is>
      </c>
      <c r="G30" s="16" t="inlineStr">
        <is>
          <t>QUESTION: What's your biggest challenge when bidding on tenders?</t>
        </is>
      </c>
      <c r="H30" s="8" t="inlineStr">
        <is>
          <t>We want to build TenderFlow around your real challenges.
What's the BIGGEST obstacle you face when trying to win tenders?
1️⃣ Finding the opportunities in the first place
2️⃣ Understanding the requirements
3️⃣ Writing a competitive bid
4️⃣ Meeting the deadline
5️⃣ Other — comment below
Your answers help us improve the platform. 🙏</t>
        </is>
      </c>
      <c r="I30" s="8" t="inlineStr">
        <is>
          <t>#Tenders #Procurement #AfricaBusiness #TenderFlow</t>
        </is>
      </c>
      <c r="J30" s="8" t="inlineStr">
        <is>
          <t>Question graphic — bold text on brand background</t>
        </is>
      </c>
      <c r="K30" s="9" t="inlineStr">
        <is>
          <t>11:00 AM</t>
        </is>
      </c>
      <c r="L30" s="10" t="inlineStr">
        <is>
          <t>Pending</t>
        </is>
      </c>
    </row>
    <row r="31" ht="70" customHeight="1">
      <c r="A31" s="16" t="n">
        <v>19</v>
      </c>
      <c r="B31" s="17">
        <f>B3+18</f>
        <v/>
      </c>
      <c r="C31" s="16" t="inlineStr">
        <is>
          <t>Phase 2 — Launch Blast</t>
        </is>
      </c>
      <c r="D31" s="5" t="inlineStr">
        <is>
          <t>LinkedIn</t>
        </is>
      </c>
      <c r="E31" s="16" t="inlineStr">
        <is>
          <t>Education</t>
        </is>
      </c>
      <c r="F31" s="16" t="inlineStr">
        <is>
          <t>Article</t>
        </is>
      </c>
      <c r="G31" s="16" t="inlineStr">
        <is>
          <t>How to read a tender document in 5 minutes</t>
        </is>
      </c>
      <c r="H31" s="8" t="inlineStr">
        <is>
          <t>Tender documents can be intimidating — sometimes 40+ pages.
Here's how to read one in 5 minutes:
1. Cover page — issuer, reference number, sector
2. Scope of work — what they actually want
3. Eligibility criteria — can you even bid?
4. Submission requirements — what you need to provide
5. Evaluation criteria — how they'll score bids
6. Deadline — the one thing you cannot miss
TenderFlow extracts all of these fields automatically so you can decide in 30 seconds whether a tender is worth your time.
Try it: tenderflow.africa</t>
        </is>
      </c>
      <c r="I31" s="8" t="inlineStr">
        <is>
          <t>#Procurement #BidWriting #Tenders #AfricaBusiness #TenderFlow</t>
        </is>
      </c>
      <c r="J31" s="8" t="inlineStr">
        <is>
          <t>6-step infographic on reading a tender document</t>
        </is>
      </c>
      <c r="K31" s="9" t="inlineStr">
        <is>
          <t>9:00 AM</t>
        </is>
      </c>
      <c r="L31" s="10" t="inlineStr">
        <is>
          <t>Pending</t>
        </is>
      </c>
    </row>
    <row r="32" ht="70" customHeight="1">
      <c r="A32" s="16" t="n">
        <v>20</v>
      </c>
      <c r="B32" s="17">
        <f>B3+19</f>
        <v/>
      </c>
      <c r="C32" s="16" t="inlineStr">
        <is>
          <t>Phase 2 — Launch Blast</t>
        </is>
      </c>
      <c r="D32" s="14" t="inlineStr">
        <is>
          <t>WhatsApp</t>
        </is>
      </c>
      <c r="E32" s="16" t="inlineStr">
        <is>
          <t>Tender Alert</t>
        </is>
      </c>
      <c r="F32" s="16" t="inlineStr">
        <is>
          <t>Daily Alert</t>
        </is>
      </c>
      <c r="G32" s="16" t="inlineStr">
        <is>
          <t>📋 Daily Tender Digest</t>
        </is>
      </c>
      <c r="H32" s="8" t="inlineStr">
        <is>
          <t>📋 TENDERFLOW DAILY ALERT
🇰🇪 Kenya: ICT services procurement — Deadline: [date]
🇳🇬 Nigeria: Construction civil works — Deadline: [date]
🇷🇼 Rwanda: NGO supplies — Deadline: [date]
🇬🇭 Ghana: Consulting services — Deadline: [date]
Browse 100+ more at tenderflow.africa
#TenderFlow</t>
        </is>
      </c>
      <c r="I32" s="8" t="inlineStr"/>
      <c r="J32" s="8" t="inlineStr">
        <is>
          <t>Simple text format — keep it scannable for WhatsApp</t>
        </is>
      </c>
      <c r="K32" s="9" t="inlineStr">
        <is>
          <t>7:30 AM</t>
        </is>
      </c>
      <c r="L32" s="10" t="inlineStr">
        <is>
          <t>Pending</t>
        </is>
      </c>
    </row>
    <row r="33" ht="70" customHeight="1">
      <c r="A33" s="16" t="n">
        <v>21</v>
      </c>
      <c r="B33" s="17">
        <f>B3+20</f>
        <v/>
      </c>
      <c r="C33" s="16" t="inlineStr">
        <is>
          <t>Phase 2 — Launch Blast</t>
        </is>
      </c>
      <c r="D33" s="11" t="inlineStr">
        <is>
          <t>X/Twitter</t>
        </is>
      </c>
      <c r="E33" s="16" t="inlineStr">
        <is>
          <t>Community</t>
        </is>
      </c>
      <c r="F33" s="16" t="inlineStr">
        <is>
          <t>Milestone</t>
        </is>
      </c>
      <c r="G33" s="16" t="inlineStr">
        <is>
          <t>Thank you — first week reflections</t>
        </is>
      </c>
      <c r="H33" s="8" t="inlineStr">
        <is>
          <t>One week since we launched TenderFlow.
The response from African businesses has been incredible.
If you've visited tenderflow.africa this week — thank you. Tell us what you think in the replies.
And if you found a tender worth bidding on — we want to hear it. 🙌
#TenderFlow #AfricaBusiness</t>
        </is>
      </c>
      <c r="I33" s="8" t="inlineStr">
        <is>
          <t>#TenderFlow #AfricaBusiness #Procurement #Grateful</t>
        </is>
      </c>
      <c r="J33" s="8" t="inlineStr">
        <is>
          <t>Milestone graphic — week 1 stats</t>
        </is>
      </c>
      <c r="K33" s="9" t="inlineStr">
        <is>
          <t>10:00 AM</t>
        </is>
      </c>
      <c r="L33" s="10" t="inlineStr">
        <is>
          <t>Pending</t>
        </is>
      </c>
    </row>
    <row r="34" ht="70" customHeight="1">
      <c r="A34" s="19" t="n">
        <v>22</v>
      </c>
      <c r="B34" s="20">
        <f>B3+21</f>
        <v/>
      </c>
      <c r="C34" s="19" t="inlineStr">
        <is>
          <t>Phase 3 — Sustain &amp; Grow</t>
        </is>
      </c>
      <c r="D34" s="5" t="inlineStr">
        <is>
          <t>LinkedIn</t>
        </is>
      </c>
      <c r="E34" s="19" t="inlineStr">
        <is>
          <t>Tender Alert</t>
        </is>
      </c>
      <c r="F34" s="19" t="inlineStr">
        <is>
          <t>Weekly Digest</t>
        </is>
      </c>
      <c r="G34" s="19" t="inlineStr">
        <is>
          <t>Top 5 tenders closing this week</t>
        </is>
      </c>
      <c r="H34" s="8" t="inlineStr">
        <is>
          <t>📋 TOP 5 TENDERS CLOSING THIS WEEK
Don't miss these opportunities on TenderFlow:
1. [Sector] — [Country] — Closes [Date]
2. [Sector] — [Country] — Closes [Date]
3. [Sector] — [Country] — Closes [Date]
4. [Sector] — [Country] — Closes [Date]
5. [Sector] — [Country] — Closes [Date]
Full details + documents at tenderflow.africa
What sector are you focused on this week? 👇</t>
        </is>
      </c>
      <c r="I34" s="8" t="inlineStr">
        <is>
          <t>#Tenders #Procurement #AfricaBusiness #TenderFlow #Weekly</t>
        </is>
      </c>
      <c r="J34" s="8" t="inlineStr">
        <is>
          <t>Top 5 list card — clean, branded, shareable</t>
        </is>
      </c>
      <c r="K34" s="9" t="inlineStr">
        <is>
          <t>8:00 AM</t>
        </is>
      </c>
      <c r="L34" s="10" t="inlineStr">
        <is>
          <t>Pending</t>
        </is>
      </c>
    </row>
    <row r="35" ht="70" customHeight="1">
      <c r="A35" s="19" t="n">
        <v>22</v>
      </c>
      <c r="B35" s="20">
        <f>B3+21</f>
        <v/>
      </c>
      <c r="C35" s="19" t="inlineStr">
        <is>
          <t>Phase 3 — Sustain &amp; Grow</t>
        </is>
      </c>
      <c r="D35" s="14" t="inlineStr">
        <is>
          <t>WhatsApp</t>
        </is>
      </c>
      <c r="E35" s="19" t="inlineStr">
        <is>
          <t>Tender Alert</t>
        </is>
      </c>
      <c r="F35" s="19" t="inlineStr">
        <is>
          <t>Daily Alert</t>
        </is>
      </c>
      <c r="G35" s="19" t="inlineStr">
        <is>
          <t>📋 Monday Tender Digest</t>
        </is>
      </c>
      <c r="H35" s="8" t="inlineStr">
        <is>
          <t>📋 TENDERFLOW — MONDAY DIGEST
Top tenders open this week:
[Fill with 4–5 live tenders from the platform]
Browse the full feed: tenderflow.africa</t>
        </is>
      </c>
      <c r="I35" s="8" t="inlineStr"/>
      <c r="J35" s="8" t="inlineStr">
        <is>
          <t>WhatsApp text post — update each Monday with live tenders</t>
        </is>
      </c>
      <c r="K35" s="9" t="inlineStr">
        <is>
          <t>7:30 AM</t>
        </is>
      </c>
      <c r="L35" s="10" t="inlineStr">
        <is>
          <t>Pending</t>
        </is>
      </c>
    </row>
    <row r="36" ht="70" customHeight="1">
      <c r="A36" s="19" t="n">
        <v>23</v>
      </c>
      <c r="B36" s="20">
        <f>B3+22</f>
        <v/>
      </c>
      <c r="C36" s="19" t="inlineStr">
        <is>
          <t>Phase 3 — Sustain &amp; Grow</t>
        </is>
      </c>
      <c r="D36" s="12" t="inlineStr">
        <is>
          <t>Instagram</t>
        </is>
      </c>
      <c r="E36" s="19" t="inlineStr">
        <is>
          <t>Africa Business</t>
        </is>
      </c>
      <c r="F36" s="19" t="inlineStr">
        <is>
          <t>Country Spotlight</t>
        </is>
      </c>
      <c r="G36" s="19" t="inlineStr">
        <is>
          <t>Kenya Procurement Spotlight 🇰🇪</t>
        </is>
      </c>
      <c r="H36" s="8" t="inlineStr">
        <is>
          <t>🇰🇪 KENYA SPOTLIGHT
Kenya is one of Africa's most active tender markets.
Key sectors: ICT, Construction, Healthcare, Consulting
Major buyers: National and County Governments, Kenya Power, KENHA, donor-funded NGOs
Browse Kenya tenders at tenderflow.africa 👆 Link in bio
#Kenya #KenyaBusiness #Procurement #Tenders #TenderFlow</t>
        </is>
      </c>
      <c r="I36" s="8" t="inlineStr">
        <is>
          <t>#Kenya #KenyaBusiness #Procurement #Tenders #TenderFlow #Nairobi</t>
        </is>
      </c>
      <c r="J36" s="8" t="inlineStr">
        <is>
          <t>Kenya flag + key stats card — use consistent country spotlight template</t>
        </is>
      </c>
      <c r="K36" s="9" t="inlineStr">
        <is>
          <t>12:00 PM</t>
        </is>
      </c>
      <c r="L36" s="10" t="inlineStr">
        <is>
          <t>Pending</t>
        </is>
      </c>
    </row>
    <row r="37" ht="70" customHeight="1">
      <c r="A37" s="19" t="n">
        <v>24</v>
      </c>
      <c r="B37" s="20">
        <f>B3+23</f>
        <v/>
      </c>
      <c r="C37" s="19" t="inlineStr">
        <is>
          <t>Phase 3 — Sustain &amp; Grow</t>
        </is>
      </c>
      <c r="D37" s="5" t="inlineStr">
        <is>
          <t>LinkedIn</t>
        </is>
      </c>
      <c r="E37" s="19" t="inlineStr">
        <is>
          <t>Community</t>
        </is>
      </c>
      <c r="F37" s="19" t="inlineStr">
        <is>
          <t>Consultant Feature</t>
        </is>
      </c>
      <c r="G37" s="19" t="inlineStr">
        <is>
          <t>Meet a TenderFlow consultant: [Name]</t>
        </is>
      </c>
      <c r="H37" s="8" t="inlineStr">
        <is>
          <t>This week we're featuring one of the consultants on TenderFlow's marketplace.
[Consultant Name] specialises in [sectors] and has supported [types of bids] across [countries].
If you need support writing a competitive tender bid, TenderFlow's consultant directory connects you with vetted professionals — free to browse, free to enquire.
visit tenderflow.africa/consultants
Are you a bid writer or procurement consultant? Register your profile here: tenderflow.africa/consultant-signup</t>
        </is>
      </c>
      <c r="I37" s="8" t="inlineStr">
        <is>
          <t>#Consultants #BidWriting #Procurement #TenderFlow #Africa</t>
        </is>
      </c>
      <c r="J37" s="8" t="inlineStr">
        <is>
          <t>Professional headshot + name + specialties card</t>
        </is>
      </c>
      <c r="K37" s="9" t="inlineStr">
        <is>
          <t>9:00 AM</t>
        </is>
      </c>
      <c r="L37" s="10" t="inlineStr">
        <is>
          <t>Pending</t>
        </is>
      </c>
    </row>
    <row r="38" ht="70" customHeight="1">
      <c r="A38" s="19" t="n">
        <v>25</v>
      </c>
      <c r="B38" s="20">
        <f>B3+24</f>
        <v/>
      </c>
      <c r="C38" s="19" t="inlineStr">
        <is>
          <t>Phase 3 — Sustain &amp; Grow</t>
        </is>
      </c>
      <c r="D38" s="11" t="inlineStr">
        <is>
          <t>X/Twitter</t>
        </is>
      </c>
      <c r="E38" s="19" t="inlineStr">
        <is>
          <t>Tender Alert</t>
        </is>
      </c>
      <c r="F38" s="19" t="inlineStr">
        <is>
          <t>Daily Alert</t>
        </is>
      </c>
      <c r="G38" s="19" t="inlineStr">
        <is>
          <t>📋 Today's tender picks</t>
        </is>
      </c>
      <c r="H38" s="8" t="inlineStr">
        <is>
          <t>📋 Today's tenders on TenderFlow:
[Fill with 3–4 live tenders]
Full details + docs: tenderflow.africa
#TenderFlow #Tenders #Africa #Procurement</t>
        </is>
      </c>
      <c r="I38" s="8" t="inlineStr">
        <is>
          <t>#TenderFlow #Tenders #Africa #Procurement</t>
        </is>
      </c>
      <c r="J38" s="8" t="inlineStr">
        <is>
          <t>Daily tender card — update with live tenders each day</t>
        </is>
      </c>
      <c r="K38" s="9" t="inlineStr">
        <is>
          <t>8:00 AM</t>
        </is>
      </c>
      <c r="L38" s="10" t="inlineStr">
        <is>
          <t>Pending</t>
        </is>
      </c>
    </row>
    <row r="39" ht="70" customHeight="1">
      <c r="A39" s="19" t="n">
        <v>25</v>
      </c>
      <c r="B39" s="20">
        <f>B3+24</f>
        <v/>
      </c>
      <c r="C39" s="19" t="inlineStr">
        <is>
          <t>Phase 3 — Sustain &amp; Grow</t>
        </is>
      </c>
      <c r="D39" s="13" t="inlineStr">
        <is>
          <t>Facebook</t>
        </is>
      </c>
      <c r="E39" s="19" t="inlineStr">
        <is>
          <t>Education</t>
        </is>
      </c>
      <c r="F39" s="19" t="inlineStr">
        <is>
          <t>Tips Post</t>
        </is>
      </c>
      <c r="G39" s="19" t="inlineStr">
        <is>
          <t>5 mistakes businesses make when bidding on tenders</t>
        </is>
      </c>
      <c r="H39" s="8" t="inlineStr">
        <is>
          <t>5 common mistakes that lose tenders — and how to avoid them:
1. Missing eligibility criteria (read the whole document)
2. Submitting incomplete documents
3. Ignoring the evaluation criteria scoring
4. Under-pricing without reading the scope properly
5. Missing the deadline by minutes
TenderFlow helps you stay on top of deadlines and find the right tenders for your capacity.
Browse now at tenderflow.africa</t>
        </is>
      </c>
      <c r="I39" s="8" t="inlineStr">
        <is>
          <t>#Procurement #Tenders #BidWriting #AfricaBusiness #TenderFlow</t>
        </is>
      </c>
      <c r="J39" s="8" t="inlineStr">
        <is>
          <t>5-point tips graphic — strong, shareable</t>
        </is>
      </c>
      <c r="K39" s="9" t="inlineStr">
        <is>
          <t>11:00 AM</t>
        </is>
      </c>
      <c r="L39" s="10" t="inlineStr">
        <is>
          <t>Pending</t>
        </is>
      </c>
    </row>
    <row r="40" ht="70" customHeight="1">
      <c r="A40" s="19" t="n">
        <v>26</v>
      </c>
      <c r="B40" s="20">
        <f>B3+25</f>
        <v/>
      </c>
      <c r="C40" s="19" t="inlineStr">
        <is>
          <t>Phase 3 — Sustain &amp; Grow</t>
        </is>
      </c>
      <c r="D40" s="12" t="inlineStr">
        <is>
          <t>Instagram</t>
        </is>
      </c>
      <c r="E40" s="19" t="inlineStr">
        <is>
          <t>Africa Business</t>
        </is>
      </c>
      <c r="F40" s="19" t="inlineStr">
        <is>
          <t>Country Spotlight</t>
        </is>
      </c>
      <c r="G40" s="19" t="inlineStr">
        <is>
          <t>Nigeria Procurement Spotlight 🇳🇬</t>
        </is>
      </c>
      <c r="H40" s="8" t="inlineStr">
        <is>
          <t>🇳🇬 NIGERIA SPOTLIGHT
Nigeria has one of the continent's largest public procurement markets.
Key sectors: Construction, Energy, ICT, Healthcare, Consulting
Major buyers: Federal Ministries, NNPC, NIMASA, State Governments, donor-funded NGOs
Browse Nigeria tenders at tenderflow.africa 👆 Link in bio
#Nigeria #NigeriaBusiness #Procurement #Tenders #TenderFlow</t>
        </is>
      </c>
      <c r="I40" s="8" t="inlineStr">
        <is>
          <t>#Nigeria #NigeriaBusiness #Lagos #Abuja #Procurement #Tenders</t>
        </is>
      </c>
      <c r="J40" s="8" t="inlineStr">
        <is>
          <t>Nigeria flag + stats — use country spotlight template</t>
        </is>
      </c>
      <c r="K40" s="9" t="inlineStr">
        <is>
          <t>12:00 PM</t>
        </is>
      </c>
      <c r="L40" s="10" t="inlineStr">
        <is>
          <t>Pending</t>
        </is>
      </c>
    </row>
    <row r="41" ht="70" customHeight="1">
      <c r="A41" s="19" t="n">
        <v>27</v>
      </c>
      <c r="B41" s="20">
        <f>B3+26</f>
        <v/>
      </c>
      <c r="C41" s="19" t="inlineStr">
        <is>
          <t>Phase 3 — Sustain &amp; Grow</t>
        </is>
      </c>
      <c r="D41" s="5" t="inlineStr">
        <is>
          <t>LinkedIn</t>
        </is>
      </c>
      <c r="E41" s="19" t="inlineStr">
        <is>
          <t>Education</t>
        </is>
      </c>
      <c r="F41" s="19" t="inlineStr">
        <is>
          <t>Article</t>
        </is>
      </c>
      <c r="G41" s="19" t="inlineStr">
        <is>
          <t>SME contracting in Africa: the opportunity most businesses overlook</t>
        </is>
      </c>
      <c r="H41" s="8" t="inlineStr">
        <is>
          <t>Most businesses focus on government tenders and skip SME opportunities entirely.
That's a mistake.
SME and sub-contracting opportunities:
✅ Smaller lots — easier to fulfil
✅ Faster procurement cycles
✅ Often don't require complex pre-qualification
✅ Great entry points for new market relationships
TenderFlow lists SME and sub-contracting opportunities alongside government and NGO tenders — all in one searchable feed.
tenderflow.africa</t>
        </is>
      </c>
      <c r="I41" s="8" t="inlineStr">
        <is>
          <t>#SME #AfricaBusiness #Procurement #Tenders #TenderFlow</t>
        </is>
      </c>
      <c r="J41" s="8" t="inlineStr">
        <is>
          <t>Comparison infographic: SME vs Govt tender requirements</t>
        </is>
      </c>
      <c r="K41" s="9" t="inlineStr">
        <is>
          <t>9:00 AM</t>
        </is>
      </c>
      <c r="L41" s="10" t="inlineStr">
        <is>
          <t>Pending</t>
        </is>
      </c>
    </row>
    <row r="42" ht="70" customHeight="1">
      <c r="A42" s="19" t="n">
        <v>28</v>
      </c>
      <c r="B42" s="20">
        <f>B3+27</f>
        <v/>
      </c>
      <c r="C42" s="19" t="inlineStr">
        <is>
          <t>Phase 3 — Sustain &amp; Grow</t>
        </is>
      </c>
      <c r="D42" s="18" t="inlineStr">
        <is>
          <t>YouTube</t>
        </is>
      </c>
      <c r="E42" s="19" t="inlineStr">
        <is>
          <t>Education</t>
        </is>
      </c>
      <c r="F42" s="19" t="inlineStr">
        <is>
          <t>Video</t>
        </is>
      </c>
      <c r="G42" s="19" t="inlineStr">
        <is>
          <t>How to write a winning tender bid — step by step</t>
        </is>
      </c>
      <c r="H42" s="8" t="inlineStr">
        <is>
          <t>In this video I walk through how to structure a competitive tender response for African procurement.
Topics covered:
- Reading the scope of work
- Understanding evaluation criteria
- Writing an executive summary that stands out
- Pricing strategy
- Common mistakes that disqualify bids
For vetted bid writing consultants, visit tenderflow.africa/consultants
#TenderFlow #BidWriting #Procurement #Africa</t>
        </is>
      </c>
      <c r="I42" s="8" t="inlineStr">
        <is>
          <t>#TenderFlow #BidWriting #Procurement #Africa #Tenders</t>
        </is>
      </c>
      <c r="J42" s="8" t="inlineStr">
        <is>
          <t>Talking-head video or slide walkthrough — aim for 8–12 minutes</t>
        </is>
      </c>
      <c r="K42" s="9" t="inlineStr">
        <is>
          <t>10:00 AM</t>
        </is>
      </c>
      <c r="L42" s="10" t="inlineStr">
        <is>
          <t>Pending</t>
        </is>
      </c>
    </row>
    <row r="43" ht="70" customHeight="1">
      <c r="A43" s="19" t="n">
        <v>29</v>
      </c>
      <c r="B43" s="20">
        <f>B3+28</f>
        <v/>
      </c>
      <c r="C43" s="19" t="inlineStr">
        <is>
          <t>Phase 3 — Sustain &amp; Grow</t>
        </is>
      </c>
      <c r="D43" s="14" t="inlineStr">
        <is>
          <t>WhatsApp</t>
        </is>
      </c>
      <c r="E43" s="19" t="inlineStr">
        <is>
          <t>Tender Alert</t>
        </is>
      </c>
      <c r="F43" s="19" t="inlineStr">
        <is>
          <t>Daily Alert</t>
        </is>
      </c>
      <c r="G43" s="19" t="inlineStr">
        <is>
          <t>📋 End-of-week tender digest</t>
        </is>
      </c>
      <c r="H43" s="8" t="inlineStr">
        <is>
          <t>📋 TENDERFLOW — END OF WEEK
Tenders closing soon — don't miss these:
[Fill with tenders closing in next 7 days]
Full feed: tenderflow.africa
Forward to someone who should be bidding. 🙏</t>
        </is>
      </c>
      <c r="I43" s="8" t="inlineStr"/>
      <c r="J43" s="8" t="inlineStr">
        <is>
          <t>WhatsApp end-of-week text post</t>
        </is>
      </c>
      <c r="K43" s="9" t="inlineStr">
        <is>
          <t>7:30 AM</t>
        </is>
      </c>
      <c r="L43" s="10" t="inlineStr">
        <is>
          <t>Pending</t>
        </is>
      </c>
    </row>
    <row r="44" ht="70" customHeight="1">
      <c r="A44" s="19" t="n">
        <v>30</v>
      </c>
      <c r="B44" s="20">
        <f>B3+29</f>
        <v/>
      </c>
      <c r="C44" s="19" t="inlineStr">
        <is>
          <t>Phase 3 — Sustain &amp; Grow</t>
        </is>
      </c>
      <c r="D44" s="5" t="inlineStr">
        <is>
          <t>LinkedIn</t>
        </is>
      </c>
      <c r="E44" s="19" t="inlineStr">
        <is>
          <t>Community</t>
        </is>
      </c>
      <c r="F44" s="19" t="inlineStr">
        <is>
          <t>Milestone</t>
        </is>
      </c>
      <c r="G44" s="19" t="inlineStr">
        <is>
          <t>30 days of TenderFlow — what we've learned</t>
        </is>
      </c>
      <c r="H44" s="8" t="inlineStr">
        <is>
          <t>30 days ago we launched TenderFlow.
Here's what we've seen:
• [X] businesses browsed tenders on the platform
• [X] countries represented in our user base
• [X] tender documents downloaded
• [X] consultant profiles registered
We built TenderFlow because Africa's procurement market is large, fragmented, and almost entirely invisible to the people who could win the work.
30 days in — we're just getting started.
Thank you for being part of it. 🙏
tenderflow.africa</t>
        </is>
      </c>
      <c r="I44" s="8" t="inlineStr">
        <is>
          <t>#TenderFlow #AfricaBusiness #Procurement #Milestone #PanAfrica</t>
        </is>
      </c>
      <c r="J44" s="8" t="inlineStr">
        <is>
          <t>30-day milestone graphic with key numbers</t>
        </is>
      </c>
      <c r="K44" s="9" t="inlineStr">
        <is>
          <t>9:00 AM</t>
        </is>
      </c>
      <c r="L44" s="10" t="inlineStr">
        <is>
          <t>Pending</t>
        </is>
      </c>
    </row>
    <row r="45" ht="70" customHeight="1">
      <c r="A45" s="19" t="n">
        <v>30</v>
      </c>
      <c r="B45" s="20">
        <f>B3+29</f>
        <v/>
      </c>
      <c r="C45" s="19" t="inlineStr">
        <is>
          <t>Phase 3 — Sustain &amp; Grow</t>
        </is>
      </c>
      <c r="D45" s="15" t="inlineStr">
        <is>
          <t>All</t>
        </is>
      </c>
      <c r="E45" s="19" t="inlineStr">
        <is>
          <t>Community</t>
        </is>
      </c>
      <c r="F45" s="19" t="inlineStr">
        <is>
          <t>Engagement</t>
        </is>
      </c>
      <c r="G45" s="19" t="inlineStr">
        <is>
          <t>What tenders are you currently working on? [Community post]</t>
        </is>
      </c>
      <c r="H45" s="8" t="inlineStr">
        <is>
          <t>Community question:
What tenders are you currently working on — or looking for?
Drop your sector and country in the comments and we'll match you with live opportunities on TenderFlow.
👇</t>
        </is>
      </c>
      <c r="I45" s="8" t="inlineStr">
        <is>
          <t>#TenderFlow #AfricaBusiness #Procurement #Community</t>
        </is>
      </c>
      <c r="J45" s="8" t="inlineStr">
        <is>
          <t>Engagement prompt graphic — ask the audience directly</t>
        </is>
      </c>
      <c r="K45" s="9" t="inlineStr">
        <is>
          <t>11:00 AM</t>
        </is>
      </c>
      <c r="L45" s="10" t="inlineStr">
        <is>
          <t>Pending</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6" customWidth="1" min="1" max="1"/>
    <col width="22" customWidth="1" min="2" max="2"/>
    <col width="35" customWidth="1" min="3" max="3"/>
    <col width="20" customWidth="1" min="4" max="4"/>
    <col width="22" customWidth="1" min="5" max="5"/>
    <col width="18" customWidth="1" min="6" max="6"/>
  </cols>
  <sheetData>
    <row r="1" ht="30" customHeight="1">
      <c r="A1" s="21" t="inlineStr">
        <is>
          <t>TenderFlow — Platform Quick Reference</t>
        </is>
      </c>
    </row>
    <row r="2" ht="6" customHeight="1"/>
    <row r="3" ht="24" customHeight="1">
      <c r="A3" s="5" t="inlineStr">
        <is>
          <t>Platform</t>
        </is>
      </c>
      <c r="B3" s="5" t="inlineStr">
        <is>
          <t>Handle / Name</t>
        </is>
      </c>
      <c r="C3" s="5" t="inlineStr">
        <is>
          <t>Bio Copy</t>
        </is>
      </c>
      <c r="D3" s="5" t="inlineStr">
        <is>
          <t>Post Frequency</t>
        </is>
      </c>
      <c r="E3" s="5" t="inlineStr">
        <is>
          <t>Best Content Types</t>
        </is>
      </c>
      <c r="F3" s="5" t="inlineStr">
        <is>
          <t>Best Times (UTC+3)</t>
        </is>
      </c>
    </row>
    <row r="4" ht="55" customHeight="1">
      <c r="A4" s="5" t="inlineStr">
        <is>
          <t>LinkedIn</t>
        </is>
      </c>
      <c r="B4" s="22" t="inlineStr">
        <is>
          <t>@TenderFlow (Company Page)</t>
        </is>
      </c>
      <c r="C4" s="22" t="inlineStr">
        <is>
          <t>Pan-African tender intelligence — Govt, NGO &amp; SME opportunities from 14 countries.</t>
        </is>
      </c>
      <c r="D4" s="22" t="inlineStr">
        <is>
          <t>1× per day</t>
        </is>
      </c>
      <c r="E4" s="22" t="inlineStr">
        <is>
          <t>Long-form posts, carousels, articles, founder stories</t>
        </is>
      </c>
      <c r="F4" s="22" t="inlineStr">
        <is>
          <t>8–10 AM, 12–1 PM</t>
        </is>
      </c>
    </row>
    <row r="5" ht="55" customHeight="1">
      <c r="A5" s="11" t="inlineStr">
        <is>
          <t>X/Twitter</t>
        </is>
      </c>
      <c r="B5" s="8" t="inlineStr">
        <is>
          <t>@TenderFlow_Africa</t>
        </is>
      </c>
      <c r="C5" s="8" t="inlineStr">
        <is>
          <t>Pan-African tender intelligence. Govt · NGO · SME. 14 countries. Free. tenderflow.africa 🌍</t>
        </is>
      </c>
      <c r="D5" s="8" t="inlineStr">
        <is>
          <t>2–3× per day</t>
        </is>
      </c>
      <c r="E5" s="8" t="inlineStr">
        <is>
          <t>Short posts, threads, daily alerts, polls, retweets</t>
        </is>
      </c>
      <c r="F5" s="8" t="inlineStr">
        <is>
          <t>8–10 AM, 6–8 PM</t>
        </is>
      </c>
    </row>
    <row r="6" ht="55" customHeight="1">
      <c r="A6" s="13" t="inlineStr">
        <is>
          <t>Facebook</t>
        </is>
      </c>
      <c r="B6" s="22" t="inlineStr">
        <is>
          <t>TenderFlow Africa (Page)</t>
        </is>
      </c>
      <c r="C6" s="22" t="inlineStr">
        <is>
          <t>Government, NGO &amp; SME tender opportunities from 14 African countries. Free.</t>
        </is>
      </c>
      <c r="D6" s="22" t="inlineStr">
        <is>
          <t>1× per day</t>
        </is>
      </c>
      <c r="E6" s="22" t="inlineStr">
        <is>
          <t>Videos, engagement questions, group shares, images</t>
        </is>
      </c>
      <c r="F6" s="22" t="inlineStr">
        <is>
          <t>9–11 AM, 7–9 PM</t>
        </is>
      </c>
    </row>
    <row r="7" ht="55" customHeight="1">
      <c r="A7" s="12" t="inlineStr">
        <is>
          <t>Instagram</t>
        </is>
      </c>
      <c r="B7" s="8" t="inlineStr">
        <is>
          <t>@tenderflow.africa</t>
        </is>
      </c>
      <c r="C7" s="8" t="inlineStr">
        <is>
          <t>Pan-African tender intelligence 🌍 Govt · NGO · SME · 14 countries · Free 👇</t>
        </is>
      </c>
      <c r="D7" s="8" t="inlineStr">
        <is>
          <t>4–5× per week</t>
        </is>
      </c>
      <c r="E7" s="8" t="inlineStr">
        <is>
          <t>Reels, carousels, stat cards, country spotlights, Stories</t>
        </is>
      </c>
      <c r="F7" s="8" t="inlineStr">
        <is>
          <t>12–2 PM, 7–9 PM</t>
        </is>
      </c>
    </row>
    <row r="8" ht="55" customHeight="1">
      <c r="A8" s="18" t="inlineStr">
        <is>
          <t>YouTube</t>
        </is>
      </c>
      <c r="B8" s="22" t="inlineStr">
        <is>
          <t>TenderFlow Africa (Channel)</t>
        </is>
      </c>
      <c r="C8" s="22" t="inlineStr">
        <is>
          <t>Tender walkthroughs, how-to guides, country spotlights and weekly opportunity digests.</t>
        </is>
      </c>
      <c r="D8" s="22" t="inlineStr">
        <is>
          <t>1× per week</t>
        </is>
      </c>
      <c r="E8" s="22" t="inlineStr">
        <is>
          <t>Platform demos, tutorials, explainers, weekly digest</t>
        </is>
      </c>
      <c r="F8" s="22" t="inlineStr">
        <is>
          <t>10 AM–12 PM</t>
        </is>
      </c>
    </row>
    <row r="9" ht="55" customHeight="1">
      <c r="A9" s="14" t="inlineStr">
        <is>
          <t>WhatsApp</t>
        </is>
      </c>
      <c r="B9" s="8" t="inlineStr">
        <is>
          <t>TenderFlow Alerts (Channel)</t>
        </is>
      </c>
      <c r="C9" s="8" t="inlineStr">
        <is>
          <t>Daily tender alerts from TenderFlow — 14 African countries. Free.</t>
        </is>
      </c>
      <c r="D9" s="8" t="inlineStr">
        <is>
          <t>1–3× per day</t>
        </is>
      </c>
      <c r="E9" s="8" t="inlineStr">
        <is>
          <t>Daily alert, closing-soon reminder, weekly digest</t>
        </is>
      </c>
      <c r="F9" s="8" t="inlineStr">
        <is>
          <t>7–8 AM, 5–6 PM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2" customWidth="1" min="1" max="1"/>
    <col width="55" customWidth="1" min="2" max="2"/>
    <col width="22" customWidth="1" min="3" max="3"/>
  </cols>
  <sheetData>
    <row r="1" ht="28" customHeight="1">
      <c r="A1" s="21" t="inlineStr">
        <is>
          <t>TenderFlow — Hashtag Bank</t>
        </is>
      </c>
    </row>
    <row r="2" ht="6" customHeight="1"/>
    <row r="3" ht="22" customHeight="1">
      <c r="A3" s="23" t="inlineStr">
        <is>
          <t>Category</t>
        </is>
      </c>
      <c r="B3" s="23" t="inlineStr">
        <is>
          <t>Hashtags</t>
        </is>
      </c>
      <c r="C3" s="23" t="inlineStr">
        <is>
          <t>Notes</t>
        </is>
      </c>
    </row>
    <row r="4" ht="42" customHeight="1">
      <c r="A4" s="24" t="inlineStr">
        <is>
          <t>Core Brand</t>
        </is>
      </c>
      <c r="B4" s="22" t="inlineStr">
        <is>
          <t>#TenderFlow #TenderFlowAfrica</t>
        </is>
      </c>
      <c r="C4" s="22" t="inlineStr">
        <is>
          <t>Always include on every post</t>
        </is>
      </c>
    </row>
    <row r="5" ht="42" customHeight="1">
      <c r="A5" s="24" t="inlineStr">
        <is>
          <t>Africa Business</t>
        </is>
      </c>
      <c r="B5" s="8" t="inlineStr">
        <is>
          <t>#AfricaBusiness #PanAfrica #AfricanBusiness #MadeInAfrica</t>
        </is>
      </c>
      <c r="C5" s="8" t="inlineStr">
        <is>
          <t>Use on LinkedIn and X</t>
        </is>
      </c>
    </row>
    <row r="6" ht="42" customHeight="1">
      <c r="A6" s="24" t="inlineStr">
        <is>
          <t>Procurement</t>
        </is>
      </c>
      <c r="B6" s="22" t="inlineStr">
        <is>
          <t>#Procurement #PublicProcurement #Tenders #Tendering #BidWriting</t>
        </is>
      </c>
      <c r="C6" s="22" t="inlineStr">
        <is>
          <t>Core topic hashtags</t>
        </is>
      </c>
    </row>
    <row r="7" ht="42" customHeight="1">
      <c r="A7" s="24" t="inlineStr">
        <is>
          <t>Opportunity</t>
        </is>
      </c>
      <c r="B7" s="8" t="inlineStr">
        <is>
          <t>#BusinessOpportunity #GovernmentContracts #NGOContracts #SMEGrowth</t>
        </is>
      </c>
      <c r="C7" s="8" t="inlineStr">
        <is>
          <t>Use on tender alert posts</t>
        </is>
      </c>
    </row>
    <row r="8" ht="42" customHeight="1">
      <c r="A8" s="24" t="inlineStr">
        <is>
          <t>Countries — EA</t>
        </is>
      </c>
      <c r="B8" s="22" t="inlineStr">
        <is>
          <t>#Kenya #Nigeria #Rwanda #Uganda #Tanzania #Ethiopia</t>
        </is>
      </c>
      <c r="C8" s="22" t="inlineStr">
        <is>
          <t>East &amp; West Africa</t>
        </is>
      </c>
    </row>
    <row r="9" ht="42" customHeight="1">
      <c r="A9" s="24" t="inlineStr">
        <is>
          <t>Countries — SA</t>
        </is>
      </c>
      <c r="B9" s="8" t="inlineStr">
        <is>
          <t>#SouthAfrica #Ghana #Botswana #Zambia #Egypt</t>
        </is>
      </c>
      <c r="C9" s="8" t="inlineStr">
        <is>
          <t>Southern &amp; North Africa</t>
        </is>
      </c>
    </row>
    <row r="10" ht="42" customHeight="1">
      <c r="A10" s="24" t="inlineStr">
        <is>
          <t>Sectors</t>
        </is>
      </c>
      <c r="B10" s="22" t="inlineStr">
        <is>
          <t>#ICT #Construction #Healthcare #Agriculture #Energy #Consulting</t>
        </is>
      </c>
      <c r="C10" s="22" t="inlineStr">
        <is>
          <t>Use when posting sector-specific content</t>
        </is>
      </c>
    </row>
    <row r="11" ht="42" customHeight="1">
      <c r="A11" s="24" t="inlineStr">
        <is>
          <t>Consultants</t>
        </is>
      </c>
      <c r="B11" s="8" t="inlineStr">
        <is>
          <t>#ProcurementConsultant #BidWriter #TenderConsultant #Consulting</t>
        </is>
      </c>
      <c r="C11" s="8" t="inlineStr">
        <is>
          <t>Use on consultant-related posts</t>
        </is>
      </c>
    </row>
    <row r="12" ht="42" customHeight="1">
      <c r="A12" s="24" t="inlineStr">
        <is>
          <t>Launch</t>
        </is>
      </c>
      <c r="B12" s="22" t="inlineStr">
        <is>
          <t>#Launch #ProductLaunch #StartupAfrica #TechAfrica #AfricanTech</t>
        </is>
      </c>
      <c r="C12" s="22" t="inlineStr">
        <is>
          <t>Use during launch week only</t>
        </is>
      </c>
    </row>
    <row r="13" ht="42" customHeight="1">
      <c r="A13" s="24" t="inlineStr">
        <is>
          <t>Engagement</t>
        </is>
      </c>
      <c r="B13" s="8" t="inlineStr">
        <is>
          <t>#AfricanEntrepreneur #SMEAfrica #BusinessAfrica #Entrepreneur</t>
        </is>
      </c>
      <c r="C13" s="8" t="inlineStr">
        <is>
          <t>General engagement &amp; discovery</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2026-05-12T19:52:05Z</dcterms:created>
  <dcterms:modified xmlns:dcterms="http://purl.org/dc/terms/" xmlns:xsi="http://www.w3.org/2001/XMLSchema-instance" xsi:type="dcterms:W3CDTF">2026-05-12T19:52:05Z</dcterms:modified>
</cp:coreProperties>
</file>